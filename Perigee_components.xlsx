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 parts" sheetId="1" state="visible" r:id="rId1"/>
    <sheet name="Bought components" sheetId="2" state="visible" r:id="rId2"/>
    <sheet name="By sub-assemb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0000FF"/>
    </font>
    <font>
      <name val="Arial"/>
      <i val="1"/>
      <color rgb="00808080"/>
    </font>
    <font>
      <name val="Arial"/>
    </font>
    <font>
      <name val="Arial"/>
      <b val="1"/>
      <color rgb="00FFFFFF"/>
    </font>
    <font>
      <name val="Arial"/>
      <b val="1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0" borderId="1" pivotButton="0" quotePrefix="0" xfId="0"/>
    <xf numFmtId="164" fontId="4" fillId="0" borderId="1" pivotButton="0" quotePrefix="0" xfId="0"/>
    <xf numFmtId="1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164" fontId="6" fillId="0" borderId="0" pivotButton="0" quotePrefix="0" xfId="0"/>
    <xf numFmtId="1" fontId="6" fillId="0" borderId="0" pivotButton="0" quotePrefix="0" xfId="0"/>
    <xf numFmtId="0" fontId="7" fillId="0" borderId="0" pivotButton="0" quotePrefix="0" xfId="0"/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16" customWidth="1" min="4" max="4"/>
    <col width="6" customWidth="1" min="5" max="5"/>
    <col width="16" customWidth="1" min="6" max="6"/>
    <col width="13" customWidth="1" min="7" max="7"/>
    <col width="14" customWidth="1" min="8" max="8"/>
    <col width="14" customWidth="1" min="9" max="9"/>
    <col width="14" customWidth="1" min="10" max="10"/>
    <col width="90" customWidth="1" min="11" max="11"/>
  </cols>
  <sheetData>
    <row r="1">
      <c r="A1" s="1" t="inlineStr">
        <is>
          <t>PERIGEE gimbal, printed components (v8, generated from out/manifest.json; fasteners excluded)</t>
        </is>
      </c>
    </row>
    <row r="2">
      <c r="A2" s="2" t="inlineStr">
        <is>
          <t>Filament density (g/cm3)</t>
        </is>
      </c>
      <c r="B2" s="3" t="n">
        <v>1.07</v>
      </c>
      <c r="C2" s="4" t="inlineStr">
        <is>
          <t>Blue cells are inputs (from params.json). Mass = volume x density x factor x qty.</t>
        </is>
      </c>
    </row>
    <row r="3">
      <c r="A3" s="2" t="inlineStr">
        <is>
          <t>Effective density factor (walls + infill)</t>
        </is>
      </c>
      <c r="B3" s="3" t="n">
        <v>0.45</v>
      </c>
    </row>
    <row r="5">
      <c r="A5" s="5" t="inlineStr">
        <is>
          <t>#</t>
        </is>
      </c>
      <c r="B5" s="5" t="inlineStr">
        <is>
          <t>Part</t>
        </is>
      </c>
      <c r="C5" s="5" t="inlineStr">
        <is>
          <t>Sub-assembly</t>
        </is>
      </c>
      <c r="D5" s="5" t="inlineStr">
        <is>
          <t>Filament / colour</t>
        </is>
      </c>
      <c r="E5" s="5" t="inlineStr">
        <is>
          <t>Qty</t>
        </is>
      </c>
      <c r="F5" s="5" t="inlineStr">
        <is>
          <t>Solid volume (cm3)</t>
        </is>
      </c>
      <c r="G5" s="5" t="inlineStr">
        <is>
          <t>Est. mass (g)</t>
        </is>
      </c>
      <c r="H5" s="5" t="inlineStr">
        <is>
          <t>Print size X (mm)</t>
        </is>
      </c>
      <c r="I5" s="5" t="inlineStr">
        <is>
          <t>Print size Y (mm)</t>
        </is>
      </c>
      <c r="J5" s="5" t="inlineStr">
        <is>
          <t>Print size Z (mm)</t>
        </is>
      </c>
      <c r="K5" s="5" t="inlineStr">
        <is>
          <t>Function / notes</t>
        </is>
      </c>
    </row>
    <row r="6">
      <c r="A6" s="6" t="n">
        <v>1</v>
      </c>
      <c r="B6" s="6" t="inlineStr">
        <is>
          <t>Base_Cup</t>
        </is>
      </c>
      <c r="C6" s="6" t="inlineStr">
        <is>
          <t>Pedestal (fixed)</t>
        </is>
      </c>
      <c r="D6" s="6" t="inlineStr">
        <is>
          <t>black</t>
        </is>
      </c>
      <c r="E6" s="6" t="n">
        <v>1</v>
      </c>
      <c r="F6" s="7" t="n">
        <v>1174.8</v>
      </c>
      <c r="G6" s="8">
        <f>F6*$B$2*$B$3*E6</f>
        <v/>
      </c>
      <c r="H6" s="6" t="n">
        <v>236</v>
      </c>
      <c r="I6" s="6" t="n">
        <v>236</v>
      </c>
      <c r="J6" s="6" t="n">
        <v>75</v>
      </c>
      <c r="K6" s="9" t="inlineStr">
        <is>
          <t>AZ pedestal. Step at the puck underside (r 84-96) is the greased thrust face; 192 mm bore is the journal. Stingray-4 on four pillars, 4x M4x40 from under the floor. 6x M6 in the foot flange for a mount plate.</t>
        </is>
      </c>
    </row>
    <row r="7">
      <c r="A7" s="6" t="n">
        <v>2</v>
      </c>
      <c r="B7" s="6" t="inlineStr">
        <is>
          <t>Az_Retainer_Ring</t>
        </is>
      </c>
      <c r="C7" s="6" t="inlineStr">
        <is>
          <t>Pedestal (fixed)</t>
        </is>
      </c>
      <c r="D7" s="6" t="inlineStr">
        <is>
          <t>black</t>
        </is>
      </c>
      <c r="E7" s="6" t="n">
        <v>1</v>
      </c>
      <c r="F7" s="7" t="n">
        <v>130.8</v>
      </c>
      <c r="G7" s="8">
        <f>F7*$B$2*$B$3*E7</f>
        <v/>
      </c>
      <c r="H7" s="6" t="n">
        <v>236</v>
      </c>
      <c r="I7" s="6" t="n">
        <v>236</v>
      </c>
      <c r="J7" s="6" t="n">
        <v>8</v>
      </c>
      <c r="K7" s="9" t="inlineStr">
        <is>
          <t>Wide flange plate (12x M4x20 + nuts in the pedestal wall) trapping the puck lip: uplift + moment, and the visible AZ seam.</t>
        </is>
      </c>
    </row>
    <row r="8">
      <c r="A8" s="6" t="n">
        <v>3</v>
      </c>
      <c r="B8" s="6" t="inlineStr">
        <is>
          <t>Arm_R_1</t>
        </is>
      </c>
      <c r="C8" s="6" t="inlineStr">
        <is>
          <t>Head (turns in azimuth)</t>
        </is>
      </c>
      <c r="D8" s="6" t="inlineStr">
        <is>
          <t>white</t>
        </is>
      </c>
      <c r="E8" s="6" t="n">
        <v>1</v>
      </c>
      <c r="F8" s="7" t="n">
        <v>149.8</v>
      </c>
      <c r="G8" s="8">
        <f>F8*$B$2*$B$3*E8</f>
        <v/>
      </c>
      <c r="H8" s="6" t="n">
        <v>180</v>
      </c>
      <c r="I8" s="6" t="n">
        <v>60</v>
      </c>
      <c r="J8" s="6" t="n">
        <v>60</v>
      </c>
      <c r="K8" s="9" t="inlineStr">
        <is>
          <t>Lower arm column (R), hollow, cables inside. Feet 4x M4x25 from under the yoke plate into side-loaded nuts; socket for the upper spigot, 2x M4x50 across.</t>
        </is>
      </c>
    </row>
    <row r="9">
      <c r="A9" s="6" t="n">
        <v>4</v>
      </c>
      <c r="B9" s="6" t="inlineStr">
        <is>
          <t>Arm_R_2</t>
        </is>
      </c>
      <c r="C9" s="6" t="inlineStr">
        <is>
          <t>Head (turns in azimuth)</t>
        </is>
      </c>
      <c r="D9" s="6" t="inlineStr">
        <is>
          <t>white</t>
        </is>
      </c>
      <c r="E9" s="6" t="n">
        <v>1</v>
      </c>
      <c r="F9" s="7" t="n">
        <v>519.8</v>
      </c>
      <c r="G9" s="8">
        <f>F9*$B$2*$B$3*E9</f>
        <v/>
      </c>
      <c r="H9" s="6" t="n">
        <v>250</v>
      </c>
      <c r="I9" s="6" t="n">
        <v>150</v>
      </c>
      <c r="J9" s="6" t="n">
        <v>60</v>
      </c>
      <c r="K9" s="9" t="inlineStr">
        <is>
          <t>Upper arm column + lower half of the shoulder drum (R): Stingray-9 pocket from the inner face, open cavity behind the translucent lens; block held by 8x M4 from the drum surface.</t>
        </is>
      </c>
    </row>
    <row r="10">
      <c r="A10" s="6" t="n">
        <v>5</v>
      </c>
      <c r="B10" s="6" t="inlineStr">
        <is>
          <t>Arm_L_1</t>
        </is>
      </c>
      <c r="C10" s="6" t="inlineStr">
        <is>
          <t>Head (turns in azimuth)</t>
        </is>
      </c>
      <c r="D10" s="6" t="inlineStr">
        <is>
          <t>white</t>
        </is>
      </c>
      <c r="E10" s="6" t="n">
        <v>1</v>
      </c>
      <c r="F10" s="7" t="n">
        <v>148.6</v>
      </c>
      <c r="G10" s="8">
        <f>F10*$B$2*$B$3*E10</f>
        <v/>
      </c>
      <c r="H10" s="6" t="n">
        <v>180</v>
      </c>
      <c r="I10" s="6" t="n">
        <v>60</v>
      </c>
      <c r="J10" s="6" t="n">
        <v>60</v>
      </c>
      <c r="K10" s="9" t="inlineStr">
        <is>
          <t>Lower arm column (L), hollow, cables inside. Feet 4x M4x25 from under the yoke plate into side-loaded nuts; socket for the upper spigot, 2x M4x50 across.</t>
        </is>
      </c>
    </row>
    <row r="11">
      <c r="A11" s="6" t="n">
        <v>6</v>
      </c>
      <c r="B11" s="6" t="inlineStr">
        <is>
          <t>Arm_L_2</t>
        </is>
      </c>
      <c r="C11" s="6" t="inlineStr">
        <is>
          <t>Head (turns in azimuth)</t>
        </is>
      </c>
      <c r="D11" s="6" t="inlineStr">
        <is>
          <t>white</t>
        </is>
      </c>
      <c r="E11" s="6" t="n">
        <v>1</v>
      </c>
      <c r="F11" s="7" t="n">
        <v>657.9</v>
      </c>
      <c r="G11" s="8">
        <f>F11*$B$2*$B$3*E11</f>
        <v/>
      </c>
      <c r="H11" s="6" t="n">
        <v>250</v>
      </c>
      <c r="I11" s="6" t="n">
        <v>150</v>
      </c>
      <c r="J11" s="6" t="n">
        <v>60</v>
      </c>
      <c r="K11" s="9" t="inlineStr">
        <is>
          <t>Upper arm column + lower half of the shoulder drum (L): pillow block for the left stub bushing, on-axis encoder cap.</t>
        </is>
      </c>
    </row>
    <row r="12">
      <c r="A12" s="6" t="n">
        <v>7</v>
      </c>
      <c r="B12" s="6" t="inlineStr">
        <is>
          <t>El_Bearing_Cap_R</t>
        </is>
      </c>
      <c r="C12" s="6" t="inlineStr">
        <is>
          <t>Head (turns in azimuth)</t>
        </is>
      </c>
      <c r="D12" s="6" t="inlineStr">
        <is>
          <t>white</t>
        </is>
      </c>
      <c r="E12" s="6" t="n">
        <v>1</v>
      </c>
      <c r="F12" s="7" t="n">
        <v>468.6</v>
      </c>
      <c r="G12" s="8">
        <f>F12*$B$2*$B$3*E12</f>
        <v/>
      </c>
      <c r="H12" s="6" t="n">
        <v>60</v>
      </c>
      <c r="I12" s="6" t="n">
        <v>150</v>
      </c>
      <c r="J12" s="6" t="n">
        <v>75</v>
      </c>
      <c r="K12" s="9" t="inlineStr">
        <is>
          <t>Upper half of the shoulder drum, 2x M4x25 into nuts trapped in the lower half; closes the top of the gearbox pocket.</t>
        </is>
      </c>
    </row>
    <row r="13">
      <c r="A13" s="6" t="n">
        <v>8</v>
      </c>
      <c r="B13" s="6" t="inlineStr">
        <is>
          <t>El_Bearing_Cap_L</t>
        </is>
      </c>
      <c r="C13" s="6" t="inlineStr">
        <is>
          <t>Head (turns in azimuth)</t>
        </is>
      </c>
      <c r="D13" s="6" t="inlineStr">
        <is>
          <t>white</t>
        </is>
      </c>
      <c r="E13" s="6" t="n">
        <v>1</v>
      </c>
      <c r="F13" s="7" t="n">
        <v>484.6</v>
      </c>
      <c r="G13" s="8">
        <f>F13*$B$2*$B$3*E13</f>
        <v/>
      </c>
      <c r="H13" s="6" t="n">
        <v>60</v>
      </c>
      <c r="I13" s="6" t="n">
        <v>150</v>
      </c>
      <c r="J13" s="6" t="n">
        <v>75</v>
      </c>
      <c r="K13" s="9" t="inlineStr">
        <is>
          <t>Upper half of the shoulder drum, 2x M4x25 into nuts trapped in the lower half; holds the upper bushing half.</t>
        </is>
      </c>
    </row>
    <row r="14">
      <c r="A14" s="6" t="n">
        <v>9</v>
      </c>
      <c r="B14" s="6" t="inlineStr">
        <is>
          <t>El_Bushing_L_Lower</t>
        </is>
      </c>
      <c r="C14" s="6" t="inlineStr">
        <is>
          <t>Head (turns in azimuth)</t>
        </is>
      </c>
      <c r="D14" s="6" t="inlineStr">
        <is>
          <t>white</t>
        </is>
      </c>
      <c r="E14" s="6" t="n">
        <v>1</v>
      </c>
      <c r="F14" s="7" t="n">
        <v>5.7</v>
      </c>
      <c r="G14" s="8">
        <f>F14*$B$2*$B$3*E14</f>
        <v/>
      </c>
      <c r="H14" s="6" t="n">
        <v>40</v>
      </c>
      <c r="I14" s="6" t="n">
        <v>36</v>
      </c>
      <c r="J14" s="6" t="n">
        <v>18</v>
      </c>
      <c r="K14" s="9" t="inlineStr">
        <is>
          <t>Half of the split plain bushing (36/30.5 x 40). Grease.</t>
        </is>
      </c>
    </row>
    <row r="15">
      <c r="A15" s="6" t="n">
        <v>10</v>
      </c>
      <c r="B15" s="6" t="inlineStr">
        <is>
          <t>El_Bushing_L_Upper</t>
        </is>
      </c>
      <c r="C15" s="6" t="inlineStr">
        <is>
          <t>Head (turns in azimuth)</t>
        </is>
      </c>
      <c r="D15" s="6" t="inlineStr">
        <is>
          <t>white</t>
        </is>
      </c>
      <c r="E15" s="6" t="n">
        <v>1</v>
      </c>
      <c r="F15" s="7" t="n">
        <v>5.7</v>
      </c>
      <c r="G15" s="8">
        <f>F15*$B$2*$B$3*E15</f>
        <v/>
      </c>
      <c r="H15" s="6" t="n">
        <v>40</v>
      </c>
      <c r="I15" s="6" t="n">
        <v>36</v>
      </c>
      <c r="J15" s="6" t="n">
        <v>18</v>
      </c>
      <c r="K15" s="9" t="inlineStr">
        <is>
          <t>Half of the split plain bushing (36/30.5 x 40). Grease.</t>
        </is>
      </c>
    </row>
    <row r="16">
      <c r="A16" s="6" t="n">
        <v>11</v>
      </c>
      <c r="B16" s="6" t="inlineStr">
        <is>
          <t>El_Axis_Cap_L</t>
        </is>
      </c>
      <c r="C16" s="6" t="inlineStr">
        <is>
          <t>Head (turns in azimuth)</t>
        </is>
      </c>
      <c r="D16" s="6" t="inlineStr">
        <is>
          <t>grey</t>
        </is>
      </c>
      <c r="E16" s="6" t="n">
        <v>1</v>
      </c>
      <c r="F16" s="7" t="n">
        <v>33.2</v>
      </c>
      <c r="G16" s="8">
        <f>F16*$B$2*$B$3*E16</f>
        <v/>
      </c>
      <c r="H16" s="6" t="n">
        <v>80</v>
      </c>
      <c r="I16" s="6" t="n">
        <v>80</v>
      </c>
      <c r="J16" s="6" t="n">
        <v>14</v>
      </c>
      <c r="K16" s="9" t="inlineStr">
        <is>
          <t>Left axis cap: AS5600 column (2 mm off the stub magnet), translucent window; 4x M3x12 into bore-loaded nuts.</t>
        </is>
      </c>
    </row>
    <row r="17">
      <c r="A17" s="6" t="n">
        <v>12</v>
      </c>
      <c r="B17" s="6" t="inlineStr">
        <is>
          <t>Status_Window</t>
        </is>
      </c>
      <c r="C17" s="6" t="inlineStr">
        <is>
          <t>Head (turns in azimuth)</t>
        </is>
      </c>
      <c r="D17" s="6" t="inlineStr">
        <is>
          <t>clear</t>
        </is>
      </c>
      <c r="E17" s="6" t="n">
        <v>1</v>
      </c>
      <c r="F17" s="7" t="n">
        <v>2.4</v>
      </c>
      <c r="G17" s="8">
        <f>F17*$B$2*$B$3*E17</f>
        <v/>
      </c>
      <c r="H17" s="6" t="n">
        <v>39.4</v>
      </c>
      <c r="I17" s="6" t="n">
        <v>39.4</v>
      </c>
      <c r="J17" s="6" t="n">
        <v>2</v>
      </c>
      <c r="K17" s="9" t="inlineStr">
        <is>
          <t>Translucent disc in the left cap.</t>
        </is>
      </c>
    </row>
    <row r="18">
      <c r="A18" s="6" t="n">
        <v>13</v>
      </c>
      <c r="B18" s="6" t="inlineStr">
        <is>
          <t>El_Servo_Cover</t>
        </is>
      </c>
      <c r="C18" s="6" t="inlineStr">
        <is>
          <t>Head (turns in azimuth)</t>
        </is>
      </c>
      <c r="D18" s="6" t="inlineStr">
        <is>
          <t>clear</t>
        </is>
      </c>
      <c r="E18" s="6" t="n">
        <v>1</v>
      </c>
      <c r="F18" s="7" t="n">
        <v>49.7</v>
      </c>
      <c r="G18" s="8">
        <f>F18*$B$2*$B$3*E18</f>
        <v/>
      </c>
      <c r="H18" s="6" t="n">
        <v>96</v>
      </c>
      <c r="I18" s="6" t="n">
        <v>96</v>
      </c>
      <c r="J18" s="6" t="n">
        <v>7</v>
      </c>
      <c r="K18" s="9" t="inlineStr">
        <is>
          <t>Translucent lens on the right shoulder drum showing the Stingray-9; 4x M3x12 into cavity-loaded nuts.</t>
        </is>
      </c>
    </row>
    <row r="19">
      <c r="A19" s="6" t="n">
        <v>14</v>
      </c>
      <c r="B19" s="6" t="inlineStr">
        <is>
          <t>Head_Puck</t>
        </is>
      </c>
      <c r="C19" s="6" t="inlineStr">
        <is>
          <t>Head (turns in azimuth)</t>
        </is>
      </c>
      <c r="D19" s="6" t="inlineStr">
        <is>
          <t>white</t>
        </is>
      </c>
      <c r="E19" s="6" t="n">
        <v>1</v>
      </c>
      <c r="F19" s="7" t="n">
        <v>817.2</v>
      </c>
      <c r="G19" s="8">
        <f>F19*$B$2*$B$3*E19</f>
        <v/>
      </c>
      <c r="H19" s="6" t="n">
        <v>191</v>
      </c>
      <c r="I19" s="6" t="n">
        <v>191</v>
      </c>
      <c r="J19" s="6" t="n">
        <v>30</v>
      </c>
      <c r="K19" s="9" t="inlineStr">
        <is>
          <t>Rotating deck: 15 mm journal lip + thrust face (grease); bolted to the Stingray-4 standoffs (4x M4x25). Cable loop hole at the back.</t>
        </is>
      </c>
    </row>
    <row r="20">
      <c r="A20" s="6" t="n">
        <v>15</v>
      </c>
      <c r="B20" s="6" t="inlineStr">
        <is>
          <t>Az_Drum</t>
        </is>
      </c>
      <c r="C20" s="6" t="inlineStr">
        <is>
          <t>Head (turns in azimuth)</t>
        </is>
      </c>
      <c r="D20" s="6" t="inlineStr">
        <is>
          <t>white</t>
        </is>
      </c>
      <c r="E20" s="6" t="n">
        <v>1</v>
      </c>
      <c r="F20" s="7" t="n">
        <v>429.8</v>
      </c>
      <c r="G20" s="8">
        <f>F20*$B$2*$B$3*E20</f>
        <v/>
      </c>
      <c r="H20" s="6" t="n">
        <v>216</v>
      </c>
      <c r="I20" s="6" t="n">
        <v>216</v>
      </c>
      <c r="J20" s="6" t="n">
        <v>88</v>
      </c>
      <c r="K20" s="9" t="inlineStr">
        <is>
          <t>Rotating azimuth housing (same diameter as the pedestal) = electronics bay. 4 pillars + ribs carry the yoke; M4x30 from below, M4x16 from above, nuts trapped in the pillars.</t>
        </is>
      </c>
    </row>
    <row r="21">
      <c r="A21" s="6" t="n">
        <v>16</v>
      </c>
      <c r="B21" s="6" t="inlineStr">
        <is>
          <t>Logo_Light_Pipe</t>
        </is>
      </c>
      <c r="C21" s="6" t="inlineStr">
        <is>
          <t>Head (turns in azimuth)</t>
        </is>
      </c>
      <c r="D21" s="6" t="inlineStr">
        <is>
          <t>clear</t>
        </is>
      </c>
      <c r="E21" s="6" t="n">
        <v>1</v>
      </c>
      <c r="F21" s="7" t="n">
        <v>3.1</v>
      </c>
      <c r="G21" s="8">
        <f>F21*$B$2*$B$3*E21</f>
        <v/>
      </c>
      <c r="H21" s="6" t="n">
        <v>70.7</v>
      </c>
      <c r="I21" s="6" t="n">
        <v>8.1</v>
      </c>
      <c r="J21" s="6" t="n">
        <v>22</v>
      </c>
      <c r="K21" s="9" t="inlineStr">
        <is>
          <t>Curved translucent plate behind the drum stencil (glue), LED behind.</t>
        </is>
      </c>
    </row>
    <row r="22">
      <c r="A22" s="6" t="n">
        <v>17</v>
      </c>
      <c r="B22" s="6" t="inlineStr">
        <is>
          <t>Yoke_Plate</t>
        </is>
      </c>
      <c r="C22" s="6" t="inlineStr">
        <is>
          <t>Head (turns in azimuth)</t>
        </is>
      </c>
      <c r="D22" s="6" t="inlineStr">
        <is>
          <t>white</t>
        </is>
      </c>
      <c r="E22" s="6" t="n">
        <v>1</v>
      </c>
      <c r="F22" s="7" t="n">
        <v>568.2</v>
      </c>
      <c r="G22" s="8">
        <f>F22*$B$2*$B$3*E22</f>
        <v/>
      </c>
      <c r="H22" s="6" t="n">
        <v>244</v>
      </c>
      <c r="I22" s="6" t="n">
        <v>220</v>
      </c>
      <c r="J22" s="6" t="n">
        <v>16</v>
      </c>
      <c r="K22" s="9" t="inlineStr">
        <is>
          <t>Oval yoke plate / drum lid (244 x 220 mm): pillars 4x M4x16 from above (nuts in the pillars), arm feet 4x M4x25 each from below (nuts in the arm feet), translucent access cover 6x M3x25 (nuts under the plate).</t>
        </is>
      </c>
    </row>
    <row r="23">
      <c r="A23" s="6" t="n">
        <v>18</v>
      </c>
      <c r="B23" s="6" t="inlineStr">
        <is>
          <t>Yoke_Access_Cover</t>
        </is>
      </c>
      <c r="C23" s="6" t="inlineStr">
        <is>
          <t>Head (turns in azimuth)</t>
        </is>
      </c>
      <c r="D23" s="6" t="inlineStr">
        <is>
          <t>clear</t>
        </is>
      </c>
      <c r="E23" s="6" t="n">
        <v>1</v>
      </c>
      <c r="F23" s="7" t="n">
        <v>57.6</v>
      </c>
      <c r="G23" s="8">
        <f>F23*$B$2*$B$3*E23</f>
        <v/>
      </c>
      <c r="H23" s="6" t="n">
        <v>116</v>
      </c>
      <c r="I23" s="6" t="n">
        <v>116</v>
      </c>
      <c r="J23" s="6" t="n">
        <v>7</v>
      </c>
      <c r="K23" s="9" t="inlineStr">
        <is>
          <t>Translucent round access cover on the yoke plate (electronics visible); 6x M3x25 + nuts under the plate.</t>
        </is>
      </c>
    </row>
    <row r="24">
      <c r="A24" s="6" t="n">
        <v>19</v>
      </c>
      <c r="B24" s="6" t="inlineStr">
        <is>
          <t>Cradle_Hub</t>
        </is>
      </c>
      <c r="C24" s="6" t="inlineStr">
        <is>
          <t>Cradle (turns in elevation)</t>
        </is>
      </c>
      <c r="D24" s="6" t="inlineStr">
        <is>
          <t>black</t>
        </is>
      </c>
      <c r="E24" s="6" t="n">
        <v>1</v>
      </c>
      <c r="F24" s="7" t="n">
        <v>254.5</v>
      </c>
      <c r="G24" s="8">
        <f>F24*$B$2*$B$3*E24</f>
        <v/>
      </c>
      <c r="H24" s="6" t="n">
        <v>90</v>
      </c>
      <c r="I24" s="6" t="n">
        <v>90</v>
      </c>
      <c r="J24" s="6" t="n">
        <v>90</v>
      </c>
      <c r="K24" s="9" t="inlineStr">
        <is>
          <t>Hollow rounded hub, open top with a flush bolted lid: every flange bolt (left stub, boom, counterweight arm) ends in a nut inside the cavity; the right wall bolts straight onto the Stingray-9 standoffs.</t>
        </is>
      </c>
    </row>
    <row r="25">
      <c r="A25" s="6" t="n">
        <v>20</v>
      </c>
      <c r="B25" s="6" t="inlineStr">
        <is>
          <t>Cradle_Lid</t>
        </is>
      </c>
      <c r="C25" s="6" t="inlineStr">
        <is>
          <t>Cradle (turns in elevation)</t>
        </is>
      </c>
      <c r="D25" s="6" t="inlineStr">
        <is>
          <t>black</t>
        </is>
      </c>
      <c r="E25" s="6" t="n">
        <v>1</v>
      </c>
      <c r="F25" s="7" t="n">
        <v>37.9</v>
      </c>
      <c r="G25" s="8">
        <f>F25*$B$2*$B$3*E25</f>
        <v/>
      </c>
      <c r="H25" s="6" t="n">
        <v>80.40000000000001</v>
      </c>
      <c r="I25" s="6" t="n">
        <v>80.40000000000001</v>
      </c>
      <c r="J25" s="6" t="n">
        <v>6</v>
      </c>
      <c r="K25" s="9" t="inlineStr">
        <is>
          <t>Flush hub lid, 4x M3x12 into nuts trapped in the rim. Fit after all flange nuts and the standoff screws are in.</t>
        </is>
      </c>
    </row>
    <row r="26">
      <c r="A26" s="6" t="n">
        <v>21</v>
      </c>
      <c r="B26" s="6" t="inlineStr">
        <is>
          <t>El_Stub_L</t>
        </is>
      </c>
      <c r="C26" s="6" t="inlineStr">
        <is>
          <t>Cradle (turns in elevation)</t>
        </is>
      </c>
      <c r="D26" s="6" t="inlineStr">
        <is>
          <t>black</t>
        </is>
      </c>
      <c r="E26" s="6" t="n">
        <v>1</v>
      </c>
      <c r="F26" s="7" t="n">
        <v>58.9</v>
      </c>
      <c r="G26" s="8">
        <f>F26*$B$2*$B$3*E26</f>
        <v/>
      </c>
      <c r="H26" s="6" t="n">
        <v>60</v>
      </c>
      <c r="I26" s="6" t="n">
        <v>60</v>
      </c>
      <c r="J26" s="6" t="n">
        <v>67</v>
      </c>
      <c r="K26" s="9" t="inlineStr">
        <is>
          <t>Left EL stub axle, flange 4x M4x20 through the hub wall into nuts inside; turns in the split bushings. Magnet in the end face.</t>
        </is>
      </c>
    </row>
    <row r="27">
      <c r="A27" s="6" t="n">
        <v>22</v>
      </c>
      <c r="B27" s="6" t="inlineStr">
        <is>
          <t>Dish_Boom</t>
        </is>
      </c>
      <c r="C27" s="6" t="inlineStr">
        <is>
          <t>Cradle (turns in elevation)</t>
        </is>
      </c>
      <c r="D27" s="6" t="inlineStr">
        <is>
          <t>black</t>
        </is>
      </c>
      <c r="E27" s="6" t="n">
        <v>1</v>
      </c>
      <c r="F27" s="7" t="n">
        <v>101.1</v>
      </c>
      <c r="G27" s="8">
        <f>F27*$B$2*$B$3*E27</f>
        <v/>
      </c>
      <c r="H27" s="6" t="n">
        <v>70</v>
      </c>
      <c r="I27" s="6" t="n">
        <v>115</v>
      </c>
      <c r="J27" s="6" t="n">
        <v>70</v>
      </c>
      <c r="K27" s="9" t="inlineStr">
        <is>
          <t>Round boom tube to the dish offset; round root flange 4x M4x20 into nuts inside the hub; round end flange takes either adapter (4x M5 + nuts).</t>
        </is>
      </c>
    </row>
    <row r="28">
      <c r="A28" s="6" t="n">
        <v>23</v>
      </c>
      <c r="B28" s="6" t="inlineStr">
        <is>
          <t>Counterweight_Arm</t>
        </is>
      </c>
      <c r="C28" s="6" t="inlineStr">
        <is>
          <t>Cradle (turns in elevation)</t>
        </is>
      </c>
      <c r="D28" s="6" t="inlineStr">
        <is>
          <t>black</t>
        </is>
      </c>
      <c r="E28" s="6" t="n">
        <v>1</v>
      </c>
      <c r="F28" s="7" t="n">
        <v>109.6</v>
      </c>
      <c r="G28" s="8">
        <f>F28*$B$2*$B$3*E28</f>
        <v/>
      </c>
      <c r="H28" s="6" t="n">
        <v>70</v>
      </c>
      <c r="I28" s="6" t="n">
        <v>185</v>
      </c>
      <c r="J28" s="6" t="n">
        <v>70</v>
      </c>
      <c r="K28" s="9" t="inlineStr">
        <is>
          <t>Round tube with a row of M4 holes for the canister collar; round root flange 4x M4x20 into nuts inside the hub.</t>
        </is>
      </c>
    </row>
    <row r="29">
      <c r="A29" s="6" t="n">
        <v>24</v>
      </c>
      <c r="B29" s="6" t="inlineStr">
        <is>
          <t>Dish_Adapter_Plate</t>
        </is>
      </c>
      <c r="C29" s="6" t="inlineStr">
        <is>
          <t>Cradle (turns in elevation)</t>
        </is>
      </c>
      <c r="D29" s="6" t="inlineStr">
        <is>
          <t>grey</t>
        </is>
      </c>
      <c r="E29" s="6" t="n">
        <v>1</v>
      </c>
      <c r="F29" s="7" t="n">
        <v>71.7</v>
      </c>
      <c r="G29" s="8">
        <f>F29*$B$2*$B$3*E29</f>
        <v/>
      </c>
      <c r="H29" s="6" t="n">
        <v>120</v>
      </c>
      <c r="I29" s="6" t="n">
        <v>120</v>
      </c>
      <c r="J29" s="6" t="n">
        <v>8</v>
      </c>
      <c r="K29" s="9" t="inlineStr">
        <is>
          <t>Adapter A: slotted plate; 4x M5x12 into nuts pocketed in the boom flange.</t>
        </is>
      </c>
    </row>
    <row r="30">
      <c r="A30" s="6" t="n">
        <v>25</v>
      </c>
      <c r="B30" s="6" t="inlineStr">
        <is>
          <t>Counterweight_Canister</t>
        </is>
      </c>
      <c r="C30" s="6" t="inlineStr">
        <is>
          <t>Cradle (turns in elevation)</t>
        </is>
      </c>
      <c r="D30" s="6" t="inlineStr">
        <is>
          <t>black</t>
        </is>
      </c>
      <c r="E30" s="6" t="n">
        <v>1</v>
      </c>
      <c r="F30" s="7" t="n">
        <v>183.3</v>
      </c>
      <c r="G30" s="8">
        <f>F30*$B$2*$B$3*E30</f>
        <v/>
      </c>
      <c r="H30" s="6" t="n">
        <v>100</v>
      </c>
      <c r="I30" s="6" t="n">
        <v>100</v>
      </c>
      <c r="J30" s="6" t="n">
        <v>221</v>
      </c>
      <c r="K30" s="9" t="inlineStr">
        <is>
          <t>Opaque canister (~1.3 L); collar 2x M4x55 + nuts; cap 2x M3x10 with nuts inside the rim.</t>
        </is>
      </c>
    </row>
    <row r="31">
      <c r="A31" s="6" t="n">
        <v>26</v>
      </c>
      <c r="B31" s="6" t="inlineStr">
        <is>
          <t>Counterweight_Cap</t>
        </is>
      </c>
      <c r="C31" s="6" t="inlineStr">
        <is>
          <t>Cradle (turns in elevation)</t>
        </is>
      </c>
      <c r="D31" s="6" t="inlineStr">
        <is>
          <t>orange</t>
        </is>
      </c>
      <c r="E31" s="6" t="n">
        <v>1</v>
      </c>
      <c r="F31" s="7" t="n">
        <v>76.09999999999999</v>
      </c>
      <c r="G31" s="8">
        <f>F31*$B$2*$B$3*E31</f>
        <v/>
      </c>
      <c r="H31" s="6" t="n">
        <v>104</v>
      </c>
      <c r="I31" s="6" t="n">
        <v>104</v>
      </c>
      <c r="J31" s="6" t="n">
        <v>10</v>
      </c>
      <c r="K31" s="9" t="inlineStr">
        <is>
          <t>Press cap, engraved PERIGEE; 2x M3x10 into nuts pocketed in the plug.</t>
        </is>
      </c>
    </row>
    <row r="32">
      <c r="A32" s="6" t="n">
        <v>27</v>
      </c>
      <c r="B32" s="6" t="inlineStr">
        <is>
          <t>Dish_Adapter_PipeStub</t>
        </is>
      </c>
      <c r="C32" s="6" t="inlineStr">
        <is>
          <t>Cradle (turns in elevation)</t>
        </is>
      </c>
      <c r="D32" s="6" t="inlineStr">
        <is>
          <t>grey</t>
        </is>
      </c>
      <c r="E32" s="6" t="n">
        <v>1</v>
      </c>
      <c r="F32" s="7" t="n">
        <v>81.40000000000001</v>
      </c>
      <c r="G32" s="8">
        <f>F32*$B$2*$B$3*E32</f>
        <v/>
      </c>
      <c r="H32" s="6" t="n">
        <v>64</v>
      </c>
      <c r="I32" s="6" t="n">
        <v>64</v>
      </c>
      <c r="J32" s="6" t="n">
        <v>108</v>
      </c>
      <c r="K32" s="9" t="inlineStr">
        <is>
          <t>Adapter B: 48.3 mm pipe stub. (alternative part, printed only if wanted)</t>
        </is>
      </c>
    </row>
    <row r="33">
      <c r="B33" s="10" t="inlineStr">
        <is>
          <t>Total</t>
        </is>
      </c>
      <c r="E33" s="10">
        <f>SUM(E6:E32)</f>
        <v/>
      </c>
      <c r="F33" s="11">
        <f>SUM(F6:F32)</f>
        <v/>
      </c>
      <c r="G33" s="12">
        <f>SUM(G6:G32)</f>
        <v/>
      </c>
      <c r="K33" s="13" t="inlineStr">
        <is>
          <t>The pipe-stub adapter is an alternative to the slotted plate: print one or the other.</t>
        </is>
      </c>
    </row>
    <row r="35">
      <c r="A35" s="4" t="inlineStr">
        <is>
          <t>Print size is the bounding box in the orientation used for out/stl (all fit a 256 mm bed). Mass assumes ~45 % effective density; treat as +-30 %.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6" customWidth="1" min="3" max="3"/>
    <col width="6" customWidth="1" min="4" max="4"/>
    <col width="48" customWidth="1" min="5" max="5"/>
    <col width="70" customWidth="1" min="6" max="6"/>
    <col width="32" customWidth="1" min="7" max="7"/>
  </cols>
  <sheetData>
    <row r="1">
      <c r="A1" s="1" t="inlineStr">
        <is>
          <t>PERIGEE gimbal, non-printed components (fasteners excluded; those are in out/BOM.md)</t>
        </is>
      </c>
    </row>
    <row r="3">
      <c r="A3" s="14" t="inlineStr">
        <is>
          <t>#</t>
        </is>
      </c>
      <c r="B3" s="14" t="inlineStr">
        <is>
          <t>Component</t>
        </is>
      </c>
      <c r="C3" s="14" t="inlineStr">
        <is>
          <t>Sub-assembly</t>
        </is>
      </c>
      <c r="D3" s="14" t="inlineStr">
        <is>
          <t>Qty</t>
        </is>
      </c>
      <c r="E3" s="14" t="inlineStr">
        <is>
          <t>Part number / spec</t>
        </is>
      </c>
      <c r="F3" s="14" t="inlineStr">
        <is>
          <t>Function / notes</t>
        </is>
      </c>
      <c r="G3" s="14" t="inlineStr">
        <is>
          <t>Source</t>
        </is>
      </c>
    </row>
    <row r="4">
      <c r="A4" s="9" t="n">
        <v>1</v>
      </c>
      <c r="B4" s="9" t="inlineStr">
        <is>
          <t>goBILDA Stingray-4 servo gearbox (feedback mode)</t>
        </is>
      </c>
      <c r="C4" s="9" t="inlineStr">
        <is>
          <t>Pedestal (fixed) / Head</t>
        </is>
      </c>
      <c r="D4" s="9" t="n">
        <v>1</v>
      </c>
      <c r="E4" s="9" t="inlineStr">
        <is>
          <t>3215-0001-0004; 4:1, 450 deg, 100 kg.cm, 15 rpm, 4.8-8.4 V</t>
        </is>
      </c>
      <c r="F4" s="9" t="inlineStr">
        <is>
          <t>Direct azimuth drive under the deck; output standoffs bolt to the puck. Its feedback wire gives the AZ position.</t>
        </is>
      </c>
      <c r="G4" s="9" t="inlineStr">
        <is>
          <t>gobilda.com (ordered, order #200045873)</t>
        </is>
      </c>
    </row>
    <row r="5">
      <c r="A5" s="9" t="n">
        <v>2</v>
      </c>
      <c r="B5" s="9" t="inlineStr">
        <is>
          <t>goBILDA Stingray-9 servo gearbox (feedback mode)</t>
        </is>
      </c>
      <c r="C5" s="9" t="inlineStr">
        <is>
          <t>Head / Cradle</t>
        </is>
      </c>
      <c r="D5" s="9" t="n">
        <v>1</v>
      </c>
      <c r="E5" s="9" t="inlineStr">
        <is>
          <t>3215-0001-0009; 9:1, 200 deg, 227 kg.cm, 6.6 rpm, 4.8-8.4 V</t>
        </is>
      </c>
      <c r="F5" s="9" t="inlineStr">
        <is>
          <t>Direct elevation drive inside the right shoulder drum; output standoffs bolt to the cradle hub.</t>
        </is>
      </c>
      <c r="G5" s="9" t="inlineStr">
        <is>
          <t>gobilda.com (ordered, order #200045873)</t>
        </is>
      </c>
    </row>
    <row r="6">
      <c r="A6" s="9" t="n">
        <v>3</v>
      </c>
      <c r="B6" s="9" t="inlineStr">
        <is>
          <t>AS5600 magnetic encoder breakout</t>
        </is>
      </c>
      <c r="C6" s="9" t="inlineStr">
        <is>
          <t>Head (left axis cap)</t>
        </is>
      </c>
      <c r="D6" s="9" t="n">
        <v>1</v>
      </c>
      <c r="E6" s="9" t="inlineStr">
        <is>
          <t>AS5600, 12-bit, I2C</t>
        </is>
      </c>
      <c r="F6" s="9" t="inlineStr">
        <is>
          <t>Absolute elevation angle; reads the magnet in the left stub end through the cap column.</t>
        </is>
      </c>
      <c r="G6" s="9" t="inlineStr">
        <is>
          <t>generic breakout</t>
        </is>
      </c>
    </row>
    <row r="7">
      <c r="A7" s="9" t="n">
        <v>4</v>
      </c>
      <c r="B7" s="9" t="inlineStr">
        <is>
          <t>Diametric magnet</t>
        </is>
      </c>
      <c r="C7" s="9" t="inlineStr">
        <is>
          <t>Cradle (left stub end)</t>
        </is>
      </c>
      <c r="D7" s="9" t="n">
        <v>1</v>
      </c>
      <c r="E7" s="9" t="inlineStr">
        <is>
          <t>6 x 2.5 mm, diametrically magnetised</t>
        </is>
      </c>
      <c r="F7" s="9" t="inlineStr">
        <is>
          <t>Target for the AS5600.</t>
        </is>
      </c>
      <c r="G7" s="9" t="inlineStr">
        <is>
          <t>generic</t>
        </is>
      </c>
    </row>
    <row r="8">
      <c r="A8" s="9" t="n">
        <v>5</v>
      </c>
      <c r="B8" s="9" t="inlineStr">
        <is>
          <t>Arduino Uno</t>
        </is>
      </c>
      <c r="C8" s="9" t="inlineStr">
        <is>
          <t>Head (electronics bay)</t>
        </is>
      </c>
      <c r="D8" s="9" t="n">
        <v>1</v>
      </c>
      <c r="E8" s="9" t="inlineStr">
        <is>
          <t>Uno R3 or compatible</t>
        </is>
      </c>
      <c r="F8" s="9" t="inlineStr">
        <is>
          <t>Closes the position loop: reads Stingray feedback and AS5600, drives both gearboxes (500-2500 us PWM), unwraps azimuth over 450 deg.</t>
        </is>
      </c>
      <c r="G8" s="9" t="inlineStr">
        <is>
          <t>generic</t>
        </is>
      </c>
    </row>
    <row r="9">
      <c r="A9" s="9" t="n">
        <v>6</v>
      </c>
      <c r="B9" s="9" t="inlineStr">
        <is>
          <t>Bluetooth serial module</t>
        </is>
      </c>
      <c r="C9" s="9" t="inlineStr">
        <is>
          <t>Head (electronics bay)</t>
        </is>
      </c>
      <c r="D9" s="9" t="n">
        <v>1</v>
      </c>
      <c r="E9" s="9" t="inlineStr">
        <is>
          <t>HC-05 or HC-06</t>
        </is>
      </c>
      <c r="F9" s="9" t="inlineStr">
        <is>
          <t>Easycomm II serial link to the PC running Perigee.</t>
        </is>
      </c>
      <c r="G9" s="9" t="inlineStr">
        <is>
          <t>generic</t>
        </is>
      </c>
    </row>
    <row r="10">
      <c r="A10" s="9" t="n">
        <v>7</v>
      </c>
      <c r="B10" s="9" t="inlineStr">
        <is>
          <t>Buck converter</t>
        </is>
      </c>
      <c r="C10" s="9" t="inlineStr">
        <is>
          <t>Head (electronics bay)</t>
        </is>
      </c>
      <c r="D10" s="9" t="n">
        <v>1</v>
      </c>
      <c r="E10" s="9" t="inlineStr">
        <is>
          <t>12-24 V in, 5 V out, &gt;= 3 A</t>
        </is>
      </c>
      <c r="F10" s="9" t="inlineStr">
        <is>
          <t>Powers the Uno, encoder and Bluetooth module.</t>
        </is>
      </c>
      <c r="G10" s="9" t="inlineStr">
        <is>
          <t>generic</t>
        </is>
      </c>
    </row>
    <row r="11">
      <c r="A11" s="9" t="n">
        <v>8</v>
      </c>
      <c r="B11" s="9" t="inlineStr">
        <is>
          <t>Servo power supply</t>
        </is>
      </c>
      <c r="C11" s="9" t="inlineStr">
        <is>
          <t>Pedestal (fixed)</t>
        </is>
      </c>
      <c r="D11" s="9" t="n">
        <v>1</v>
      </c>
      <c r="E11" s="9" t="inlineStr">
        <is>
          <t>7.4 V, &gt;= 10 A</t>
        </is>
      </c>
      <c r="F11" s="9" t="inlineStr">
        <is>
          <t>Feeds both Stingrays; runs up to the head through the cable loop.</t>
        </is>
      </c>
      <c r="G11" s="9" t="inlineStr">
        <is>
          <t>generic</t>
        </is>
      </c>
    </row>
    <row r="12">
      <c r="A12" s="9" t="n">
        <v>9</v>
      </c>
      <c r="B12" s="9" t="inlineStr">
        <is>
          <t>Cable service loop</t>
        </is>
      </c>
      <c r="C12" s="9" t="inlineStr">
        <is>
          <t>Pedestal / Head</t>
        </is>
      </c>
      <c r="D12" s="9" t="n">
        <v>1</v>
      </c>
      <c r="E12" s="9" t="inlineStr">
        <is>
          <t>Flexible multicore, ~1.5 turns of slack</t>
        </is>
      </c>
      <c r="F12" s="9" t="inlineStr">
        <is>
          <t>Power and signal across the azimuth joint (450 deg travel, no slip ring). Passes the puck hole into the pedestal annulus.</t>
        </is>
      </c>
      <c r="G12" s="9" t="inlineStr">
        <is>
          <t>generic</t>
        </is>
      </c>
    </row>
    <row r="13">
      <c r="A13" s="9" t="n">
        <v>10</v>
      </c>
      <c r="B13" s="9" t="inlineStr">
        <is>
          <t>Grease</t>
        </is>
      </c>
      <c r="C13" s="9" t="inlineStr">
        <is>
          <t>Pedestal / Head</t>
        </is>
      </c>
      <c r="D13" s="9" t="n">
        <v>1</v>
      </c>
      <c r="E13" s="9" t="inlineStr">
        <is>
          <t>PTFE or lithium</t>
        </is>
      </c>
      <c r="F13" s="9" t="inlineStr">
        <is>
          <t>AZ thrust face and journal, EL bushing halves.</t>
        </is>
      </c>
      <c r="G13" s="9" t="inlineStr">
        <is>
          <t>generic</t>
        </is>
      </c>
    </row>
    <row r="14">
      <c r="A14" s="9" t="n">
        <v>11</v>
      </c>
      <c r="B14" s="9" t="inlineStr">
        <is>
          <t>Dish (reference only)</t>
        </is>
      </c>
      <c r="C14" s="9" t="inlineStr">
        <is>
          <t>Cradle</t>
        </is>
      </c>
      <c r="D14" s="9" t="n">
        <v>1</v>
      </c>
      <c r="E14" s="9" t="inlineStr">
        <is>
          <t>up to 1 m mesh, ~9 kg</t>
        </is>
      </c>
      <c r="F14" s="9" t="inlineStr">
        <is>
          <t>Modelled as a reference paraboloid; mounts on the boom flange with the slotted adapter or the pipe stub.</t>
        </is>
      </c>
      <c r="G14" s="9" t="inlineStr">
        <is>
          <t>user supplied</t>
        </is>
      </c>
    </row>
    <row r="15">
      <c r="A15" s="9" t="n">
        <v>12</v>
      </c>
      <c r="B15" s="9" t="inlineStr">
        <is>
          <t>Counterweight fill</t>
        </is>
      </c>
      <c r="C15" s="9" t="inlineStr">
        <is>
          <t>Cradle (canister)</t>
        </is>
      </c>
      <c r="D15" s="9" t="n">
        <v>1</v>
      </c>
      <c r="E15" s="9" t="inlineStr">
        <is>
          <t>~1.3 L of sand, steel shot or lead shot</t>
        </is>
      </c>
      <c r="F15" s="9" t="inlineStr">
        <is>
          <t>Balances the dish; steel shot gives ~6 kg.</t>
        </is>
      </c>
      <c r="G15" s="9" t="inlineStr">
        <is>
          <t>generic</t>
        </is>
      </c>
    </row>
    <row r="16">
      <c r="A16" s="9" t="n">
        <v>13</v>
      </c>
      <c r="B16" s="9" t="inlineStr">
        <is>
          <t>Mount plate / mast interface</t>
        </is>
      </c>
      <c r="C16" s="9" t="inlineStr">
        <is>
          <t>Pedestal (fixed)</t>
        </is>
      </c>
      <c r="D16" s="9" t="n">
        <v>1</v>
      </c>
      <c r="E16" s="9" t="inlineStr">
        <is>
          <t>matches the 6x M6 foot-flange pattern on a 236 mm circle</t>
        </is>
      </c>
      <c r="F16" s="9" t="inlineStr">
        <is>
          <t>Whatever the pedestal bolts down to.</t>
        </is>
      </c>
      <c r="G16" s="9" t="inlineStr">
        <is>
          <t>user supplied</t>
        </is>
      </c>
    </row>
    <row r="17">
      <c r="B17" s="10" t="inlineStr">
        <is>
          <t>Total items</t>
        </is>
      </c>
      <c r="D17" s="10">
        <f>SUM(D4:D16)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6" customWidth="1" min="4" max="4"/>
  </cols>
  <sheetData>
    <row r="1">
      <c r="A1" s="1" t="inlineStr">
        <is>
          <t>Printed parts per sub-assembly</t>
        </is>
      </c>
    </row>
    <row r="3">
      <c r="A3" s="14" t="inlineStr">
        <is>
          <t>Sub-assembly</t>
        </is>
      </c>
      <c r="B3" s="14" t="inlineStr">
        <is>
          <t>Printed parts</t>
        </is>
      </c>
      <c r="C3" s="14" t="inlineStr">
        <is>
          <t>Total volume (cm3)</t>
        </is>
      </c>
      <c r="D3" s="14" t="inlineStr">
        <is>
          <t>Est. mass (g)</t>
        </is>
      </c>
    </row>
    <row r="4">
      <c r="A4" s="6" t="inlineStr">
        <is>
          <t>Pedestal (fixed)</t>
        </is>
      </c>
      <c r="B4" s="6">
        <f>SUMIFS('Printed parts'!$E$6:$E$32,'Printed parts'!$C$6:$C$32,A4)</f>
        <v/>
      </c>
      <c r="C4" s="7">
        <f>SUMIFS('Printed parts'!$F$6:$F$32,'Printed parts'!$C$6:$C$32,A4)</f>
        <v/>
      </c>
      <c r="D4" s="8">
        <f>SUMIFS('Printed parts'!$G$6:$G$32,'Printed parts'!$C$6:$C$32,A4)</f>
        <v/>
      </c>
    </row>
    <row r="5">
      <c r="A5" s="6" t="inlineStr">
        <is>
          <t>Head (turns in azimuth)</t>
        </is>
      </c>
      <c r="B5" s="6">
        <f>SUMIFS('Printed parts'!$E$6:$E$32,'Printed parts'!$C$6:$C$32,A5)</f>
        <v/>
      </c>
      <c r="C5" s="7">
        <f>SUMIFS('Printed parts'!$F$6:$F$32,'Printed parts'!$C$6:$C$32,A5)</f>
        <v/>
      </c>
      <c r="D5" s="8">
        <f>SUMIFS('Printed parts'!$G$6:$G$32,'Printed parts'!$C$6:$C$32,A5)</f>
        <v/>
      </c>
    </row>
    <row r="6">
      <c r="A6" s="6" t="inlineStr">
        <is>
          <t>Cradle (turns in elevation)</t>
        </is>
      </c>
      <c r="B6" s="6">
        <f>SUMIFS('Printed parts'!$E$6:$E$32,'Printed parts'!$C$6:$C$32,A6)</f>
        <v/>
      </c>
      <c r="C6" s="7">
        <f>SUMIFS('Printed parts'!$F$6:$F$32,'Printed parts'!$C$6:$C$32,A6)</f>
        <v/>
      </c>
      <c r="D6" s="8">
        <f>SUMIFS('Printed parts'!$G$6:$G$32,'Printed parts'!$C$6:$C$32,A6)</f>
        <v/>
      </c>
    </row>
    <row r="7">
      <c r="A7" s="10" t="inlineStr">
        <is>
          <t>Total</t>
        </is>
      </c>
      <c r="B7" s="10">
        <f>SUM(B4:B6)</f>
        <v/>
      </c>
      <c r="C7" s="11">
        <f>SUM(C4:C6)</f>
        <v/>
      </c>
      <c r="D7" s="12">
        <f>SUM(D4:D6)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2026-09-21T17:43:29Z</dcterms:created>
  <dcterms:modified xsi:type="dcterms:W3CDTF">2026-09-21T17:43:29Z</dcterms:modified>
</cp:coreProperties>
</file>